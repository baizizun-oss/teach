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<sst xmlns="http://schemas.openxmlformats.org/spreadsheetml/2006/main" count="26" uniqueCount="26">
  <si>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绘画作品评分统计表</t>
  </si>
  <si>
    <t>作品编号</t>
  </si>
  <si>
    <t>评委1</t>
  </si>
  <si>
    <t>评委2</t>
  </si>
  <si>
    <t>评委3</t>
  </si>
  <si>
    <t>评委4</t>
  </si>
  <si>
    <t>评委5</t>
  </si>
  <si>
    <t>最高分</t>
  </si>
  <si>
    <t>最低分</t>
  </si>
  <si>
    <t>得分</t>
  </si>
  <si>
    <t>奖次</t>
  </si>
  <si>
    <t>CH0001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</si>
  <si>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</si>
  <si>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</si>
  <si>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</si>
  <si>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</si>
  <si>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</si>
  <si>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</si>
  <si>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</si>
  <si>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</si>
  <si>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</si>
  <si>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CH0011</t>
  </si>
  <si>
    <t>CH0012</t>
  </si>
  <si>
    <t>CH0013</t>
  </si>
  <si>
    <t>CH0014</t>
  </si>
  <si>
    <t>CH0015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</si>
</sst>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L6" sqref="L6"/>
    </sheetView>
  </sheetViews>
  <sheetFormatPr defaultColWidth="9" defaultRowHeight="13.5"/>
  <cols>
    <col min="9" max="9" width="12.8166666666667"/>
  </cols>
  <sheetData>
    <row r="1" ht="18.7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>
        <v>92</v>
      </c>
      <c r="C3" s="3">
        <v>90</v>
      </c>
      <c r="D3" s="3">
        <v>96.5</v>
      </c>
      <c r="E3" s="3">
        <v>90</v>
      </c>
      <c r="F3" s="3">
        <v>95</v>
      </c>
      <c r="G3" s="3">
        <f>MAX(B3:F3)</f>
        <v>96.5</v>
      </c>
      <c r="H3" s="3">
        <f>MIN(B3:F3)</f>
        <v>90</v>
      </c>
      <c r="I3" s="4">
        <f>(B3+C3+D3+E3+F3-G3-H3)/3</f>
        <v>92.3333333333333</v>
      </c>
      <c r="J3" s="3" t="str">
        <f>IF(I3&gt;=90,"一等奖","二等奖")</f>
        <v>一等奖</v>
      </c>
    </row>
    <row r="4" spans="1:10">
      <c r="A4" s="3" t="s">
        <v>12</v>
      </c>
      <c r="B4" s="3">
        <v>85.5</v>
      </c>
      <c r="C4" s="3">
        <v>83</v>
      </c>
      <c r="D4" s="3">
        <v>88</v>
      </c>
      <c r="E4" s="3">
        <v>84</v>
      </c>
      <c r="F4" s="3">
        <v>86</v>
      </c>
      <c r="G4" s="3">
        <f t="shared" ref="G4:G17" si="0">MAX(B4:F4)</f>
        <v>88</v>
      </c>
      <c r="H4" s="3">
        <f t="shared" ref="H4:H17" si="1">MIN(B4:F4)</f>
        <v>83</v>
      </c>
      <c r="I4" s="4">
        <f t="shared" ref="I4:I17" si="2">(B4+C4+D4+E4+F4-G4-H4)/3</f>
        <v>85.1666666666667</v>
      </c>
      <c r="J4" s="3" t="str">
        <f t="shared" ref="J4:J17" si="3">IF(I4&gt;=90,"一等奖","二等奖")</f>
        <v>二等奖</v>
      </c>
    </row>
    <row r="5" spans="1:10">
      <c r="A5" s="3" t="s">
        <v>13</v>
      </c>
      <c r="B5" s="3">
        <v>71</v>
      </c>
      <c r="C5" s="3">
        <v>70</v>
      </c>
      <c r="D5" s="3">
        <v>74.5</v>
      </c>
      <c r="E5" s="3">
        <v>71</v>
      </c>
      <c r="F5" s="3">
        <v>71</v>
      </c>
      <c r="G5" s="3">
        <f t="shared" si="0"/>
        <v>74.5</v>
      </c>
      <c r="H5" s="3">
        <f t="shared" si="1"/>
        <v>70</v>
      </c>
      <c r="I5" s="4">
        <f t="shared" si="2"/>
        <v>71</v>
      </c>
      <c r="J5" s="3" t="str">
        <f t="shared" si="3"/>
        <v>二等奖</v>
      </c>
    </row>
    <row r="6" spans="1:10">
      <c r="A6" s="3" t="s">
        <v>14</v>
      </c>
      <c r="B6" s="3">
        <v>91</v>
      </c>
      <c r="C6" s="3">
        <v>90.5</v>
      </c>
      <c r="D6" s="3">
        <v>97</v>
      </c>
      <c r="E6" s="3">
        <v>90.5</v>
      </c>
      <c r="F6" s="3">
        <v>93</v>
      </c>
      <c r="G6" s="3">
        <f t="shared" si="0"/>
        <v>97</v>
      </c>
      <c r="H6" s="3">
        <f t="shared" si="1"/>
        <v>90.5</v>
      </c>
      <c r="I6" s="4">
        <f t="shared" si="2"/>
        <v>91.5</v>
      </c>
      <c r="J6" s="3" t="str">
        <f t="shared" si="3"/>
        <v>一等奖</v>
      </c>
    </row>
    <row r="7" spans="1:10">
      <c r="A7" s="3" t="s">
        <v>15</v>
      </c>
      <c r="B7" s="3">
        <v>75</v>
      </c>
      <c r="C7" s="3">
        <v>73</v>
      </c>
      <c r="D7" s="3">
        <v>80</v>
      </c>
      <c r="E7" s="3">
        <v>75</v>
      </c>
      <c r="F7" s="3">
        <v>76</v>
      </c>
      <c r="G7" s="3">
        <f t="shared" si="0"/>
        <v>80</v>
      </c>
      <c r="H7" s="3">
        <f t="shared" si="1"/>
        <v>73</v>
      </c>
      <c r="I7" s="4">
        <f t="shared" si="2"/>
        <v>75.3333333333333</v>
      </c>
      <c r="J7" s="3" t="str">
        <f t="shared" si="3"/>
        <v>二等奖</v>
      </c>
    </row>
    <row r="8" spans="1:10">
      <c r="A8" s="3" t="s">
        <v>16</v>
      </c>
      <c r="B8" s="3">
        <v>64</v>
      </c>
      <c r="C8" s="3">
        <v>63</v>
      </c>
      <c r="D8" s="3">
        <v>68.5</v>
      </c>
      <c r="E8" s="3">
        <v>62</v>
      </c>
      <c r="F8" s="3">
        <v>65</v>
      </c>
      <c r="G8" s="3">
        <f t="shared" si="0"/>
        <v>68.5</v>
      </c>
      <c r="H8" s="3">
        <f t="shared" si="1"/>
        <v>62</v>
      </c>
      <c r="I8" s="4">
        <f t="shared" si="2"/>
        <v>64</v>
      </c>
      <c r="J8" s="3" t="str">
        <f t="shared" si="3"/>
        <v>二等奖</v>
      </c>
    </row>
    <row r="9" spans="1:10">
      <c r="A9" s="3" t="s">
        <v>17</v>
      </c>
      <c r="B9" s="3">
        <v>80</v>
      </c>
      <c r="C9" s="3">
        <v>78</v>
      </c>
      <c r="D9" s="3">
        <v>86</v>
      </c>
      <c r="E9" s="3">
        <v>81</v>
      </c>
      <c r="F9" s="3">
        <v>81.5</v>
      </c>
      <c r="G9" s="3">
        <f t="shared" si="0"/>
        <v>86</v>
      </c>
      <c r="H9" s="3">
        <f t="shared" si="1"/>
        <v>78</v>
      </c>
      <c r="I9" s="4">
        <f t="shared" si="2"/>
        <v>80.8333333333333</v>
      </c>
      <c r="J9" s="3" t="str">
        <f t="shared" si="3"/>
        <v>二等奖</v>
      </c>
    </row>
    <row r="10" spans="1:10">
      <c r="A10" s="3" t="s">
        <v>18</v>
      </c>
      <c r="B10" s="3">
        <v>86.5</v>
      </c>
      <c r="C10" s="3">
        <v>83</v>
      </c>
      <c r="D10" s="3">
        <v>88</v>
      </c>
      <c r="E10" s="3">
        <v>84</v>
      </c>
      <c r="F10" s="3">
        <v>86</v>
      </c>
      <c r="G10" s="3">
        <f t="shared" si="0"/>
        <v>88</v>
      </c>
      <c r="H10" s="3">
        <f t="shared" si="1"/>
        <v>83</v>
      </c>
      <c r="I10" s="4">
        <f t="shared" si="2"/>
        <v>85.5</v>
      </c>
      <c r="J10" s="3" t="str">
        <f t="shared" si="3"/>
        <v>二等奖</v>
      </c>
    </row>
    <row r="11" spans="1:10">
      <c r="A11" s="3" t="s">
        <v>19</v>
      </c>
      <c r="B11" s="3">
        <v>94</v>
      </c>
      <c r="C11" s="3">
        <v>93</v>
      </c>
      <c r="D11" s="3">
        <v>98</v>
      </c>
      <c r="E11" s="3">
        <v>91</v>
      </c>
      <c r="F11" s="3">
        <v>95.5</v>
      </c>
      <c r="G11" s="3">
        <f t="shared" si="0"/>
        <v>98</v>
      </c>
      <c r="H11" s="3">
        <f t="shared" si="1"/>
        <v>91</v>
      </c>
      <c r="I11" s="4">
        <f t="shared" si="2"/>
        <v>94.1666666666667</v>
      </c>
      <c r="J11" s="3" t="str">
        <f t="shared" si="3"/>
        <v>一等奖</v>
      </c>
    </row>
    <row r="12" spans="1:10">
      <c r="A12" s="3" t="s">
        <v>20</v>
      </c>
      <c r="B12" s="3">
        <v>77</v>
      </c>
      <c r="C12" s="3">
        <v>74.5</v>
      </c>
      <c r="D12" s="3">
        <v>78</v>
      </c>
      <c r="E12" s="3">
        <v>74</v>
      </c>
      <c r="F12" s="3">
        <v>76</v>
      </c>
      <c r="G12" s="3">
        <f t="shared" si="0"/>
        <v>78</v>
      </c>
      <c r="H12" s="3">
        <f t="shared" si="1"/>
        <v>74</v>
      </c>
      <c r="I12" s="4">
        <f t="shared" si="2"/>
        <v>75.8333333333333</v>
      </c>
      <c r="J12" s="3" t="str">
        <f t="shared" si="3"/>
        <v>二等奖</v>
      </c>
    </row>
    <row r="13" spans="1:10">
      <c r="A13" s="3" t="s">
        <v>21</v>
      </c>
      <c r="B13" s="3">
        <v>85</v>
      </c>
      <c r="C13" s="3">
        <v>83</v>
      </c>
      <c r="D13" s="3">
        <v>89.5</v>
      </c>
      <c r="E13" s="3">
        <v>83.5</v>
      </c>
      <c r="F13" s="3">
        <v>88</v>
      </c>
      <c r="G13" s="3">
        <f t="shared" si="0"/>
        <v>89.5</v>
      </c>
      <c r="H13" s="3">
        <f t="shared" si="1"/>
        <v>83</v>
      </c>
      <c r="I13" s="4">
        <f t="shared" si="2"/>
        <v>85.5</v>
      </c>
      <c r="J13" s="3" t="str">
        <f t="shared" si="3"/>
        <v>二等奖</v>
      </c>
    </row>
    <row r="14" spans="1:10">
      <c r="A14" s="3" t="s">
        <v>22</v>
      </c>
      <c r="B14" s="3">
        <v>78</v>
      </c>
      <c r="C14" s="3">
        <v>75</v>
      </c>
      <c r="D14" s="3">
        <v>79</v>
      </c>
      <c r="E14" s="3">
        <v>75</v>
      </c>
      <c r="F14" s="3">
        <v>77</v>
      </c>
      <c r="G14" s="3">
        <f t="shared" si="0"/>
        <v>79</v>
      </c>
      <c r="H14" s="3">
        <f t="shared" si="1"/>
        <v>75</v>
      </c>
      <c r="I14" s="4">
        <f t="shared" si="2"/>
        <v>76.6666666666667</v>
      </c>
      <c r="J14" s="3" t="str">
        <f t="shared" si="3"/>
        <v>二等奖</v>
      </c>
    </row>
    <row r="15" spans="1:10">
      <c r="A15" s="3" t="s">
        <v>23</v>
      </c>
      <c r="B15" s="3">
        <v>65</v>
      </c>
      <c r="C15" s="3">
        <v>63</v>
      </c>
      <c r="D15" s="3">
        <v>70.5</v>
      </c>
      <c r="E15" s="3">
        <v>64.5</v>
      </c>
      <c r="F15" s="3">
        <v>66</v>
      </c>
      <c r="G15" s="3">
        <f t="shared" si="0"/>
        <v>70.5</v>
      </c>
      <c r="H15" s="3">
        <f t="shared" si="1"/>
        <v>63</v>
      </c>
      <c r="I15" s="4">
        <f t="shared" si="2"/>
        <v>65.1666666666667</v>
      </c>
      <c r="J15" s="3" t="str">
        <f t="shared" si="3"/>
        <v>二等奖</v>
      </c>
    </row>
    <row r="16" spans="1:10">
      <c r="A16" s="3" t="s">
        <v>24</v>
      </c>
      <c r="B16" s="3">
        <v>90</v>
      </c>
      <c r="C16" s="3">
        <v>88</v>
      </c>
      <c r="D16" s="3">
        <v>94.5</v>
      </c>
      <c r="E16" s="3">
        <v>90.5</v>
      </c>
      <c r="F16" s="3">
        <v>91</v>
      </c>
      <c r="G16" s="3">
        <f t="shared" si="0"/>
        <v>94.5</v>
      </c>
      <c r="H16" s="3">
        <f t="shared" si="1"/>
        <v>88</v>
      </c>
      <c r="I16" s="4">
        <f t="shared" si="2"/>
        <v>90.5</v>
      </c>
      <c r="J16" s="3" t="str">
        <f t="shared" si="3"/>
        <v>一等奖</v>
      </c>
    </row>
    <row r="17" spans="1:10">
      <c r="A17" s="3" t="s">
        <v>25</v>
      </c>
      <c r="B17" s="3">
        <v>95.5</v>
      </c>
      <c r="C17" s="3">
        <v>93</v>
      </c>
      <c r="D17" s="3">
        <v>98.5</v>
      </c>
      <c r="E17" s="3">
        <v>94</v>
      </c>
      <c r="F17" s="3">
        <v>96</v>
      </c>
      <c r="G17" s="3">
        <f t="shared" si="0"/>
        <v>98.5</v>
      </c>
      <c r="H17" s="3">
        <f t="shared" si="1"/>
        <v>93</v>
      </c>
      <c r="I17" s="4">
        <f t="shared" si="2"/>
        <v>95.1666666666667</v>
      </c>
      <c r="J17" s="3" t="str">
        <f t="shared" si="3"/>
        <v>一等奖</v>
      </c>
    </row>
  </sheetData>
  <mergeCells count="1">
    <mergeCell ref="A1:J1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2023-02-12T11:20:00Z</dcterms:created>
  <dcterms:modified xsi:type="dcterms:W3CDTF">2025-12-19T01:57:49Z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4B95EAD3A07747E7AADBEC242D97B055</vt:lpwstr>
  </property>
  <property fmtid="{D5CDD505-2E9C-101B-9397-08002B2CF9AE}" pid="3" name="KSOProductBuildVer">
    <vt:lpwstr>2052-11.1.0.10045</vt:lpwstr>
  </property>
</Properties>
</file>