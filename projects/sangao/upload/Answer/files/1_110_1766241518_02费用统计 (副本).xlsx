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80" windowHeight="12450"/>
  </bookViews>
  <sheets>
    <sheet name="总计" sheetId="1" r:id="rId1"/>
    <sheet name="电话费" sheetId="2" r:id="rId2"/>
  </sheets>
  <calcPr calcId="144525"/>
</workbook>
</file>

<file path=xl/sharedStrings.xml><?xml version="1.0" encoding="utf-8"?>
<sst xmlns="http://schemas.openxmlformats.org/spreadsheetml/2006/main" count="39" uniqueCount="27">
  <si>
    <t>水、电、燃气和电话费的统计</t>
  </si>
  <si>
    <t>月份</t>
  </si>
  <si>
    <t>用水量
（吨）</t>
  </si>
  <si>
    <t>水费
（元）</t>
  </si>
  <si>
    <t>用电量
（度）</t>
  </si>
  <si>
    <t>电费
（元）</t>
  </si>
  <si>
    <r>
      <rPr>
        <sz val="11"/>
        <color theme="1"/>
        <rFont val="Calibri"/>
        <charset val="134"/>
        <scheme val="minor"/>
      </rPr>
      <t>用气量
（m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)</t>
    </r>
  </si>
  <si>
    <t>燃气费
（元）</t>
  </si>
  <si>
    <t>电话费
（元）</t>
  </si>
  <si>
    <t>小计
（元）</t>
  </si>
  <si>
    <t>单价</t>
  </si>
  <si>
    <t>1月</t>
  </si>
  <si>
    <t>水费（元/吨）</t>
  </si>
  <si>
    <t>2月</t>
  </si>
  <si>
    <t>电费（元/度）</t>
  </si>
  <si>
    <t>3月</t>
  </si>
  <si>
    <r>
      <rPr>
        <sz val="11"/>
        <color theme="1"/>
        <rFont val="Calibri"/>
        <charset val="134"/>
        <scheme val="minor"/>
      </rPr>
      <t>燃气费（元/m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)</t>
    </r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</si>
  <si>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</si>
  <si>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</si>
  <si>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</si>
  <si>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</si>
  <si>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</si>
  <si>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</si>
  <si>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</si>
  <si>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</si>
  <si>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</si>
  <si>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电话费统计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</si>
</sst>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  <numFmt numFmtId="41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vertAlign val="superscript"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Fon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年度费用变化趋势图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总计!$I$2</c:f>
              <c:strCache>
                <c:ptCount val="1"/>
                <c:pt idx="0">
                  <c:v>小计
（元）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总计!$A$3:$A$14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总计!$I$3:$I$14</c:f>
              <c:numCache>
                <c:formatCode>0.00_ </c:formatCode>
                <c:ptCount val="12"/>
                <c:pt idx="0">
                  <c:v>112.79</c:v>
                </c:pt>
                <c:pt idx="1">
                  <c:v>84.3</c:v>
                </c:pt>
                <c:pt idx="2">
                  <c:v>82.96</c:v>
                </c:pt>
                <c:pt idx="3">
                  <c:v>85.64</c:v>
                </c:pt>
                <c:pt idx="4">
                  <c:v>83.11</c:v>
                </c:pt>
                <c:pt idx="5">
                  <c:v>86.11</c:v>
                </c:pt>
                <c:pt idx="6">
                  <c:v>114.72</c:v>
                </c:pt>
                <c:pt idx="7">
                  <c:v>118.5</c:v>
                </c:pt>
                <c:pt idx="8">
                  <c:v>89.45</c:v>
                </c:pt>
                <c:pt idx="9">
                  <c:v>86.71</c:v>
                </c:pt>
                <c:pt idx="10">
                  <c:v>88.08</c:v>
                </c:pt>
                <c:pt idx="11">
                  <c:v>90.54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600826"/>
        <c:axId val="596868143"/>
      </c:lineChart>
      <c:catAx>
        <c:axId val="8786008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6868143"/>
        <c:crosses val="autoZero"/>
        <c:auto val="1"/>
        <c:lblAlgn val="ctr"/>
        <c:lblOffset val="100"/>
        <c:noMultiLvlLbl val="0"/>
      </c:catAx>
      <c:valAx>
        <c:axId val="5968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6008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514350</xdr:colOff>
      <xdr:row>18</xdr:row>
      <xdr:rowOff>12700</xdr:rowOff>
    </xdr:from>
    <xdr:to>
      <xdr:col>6</xdr:col>
      <xdr:colOff>759460</xdr:colOff>
      <xdr:row>32</xdr:row>
      <xdr:rowOff>88900</xdr:rowOff>
    </xdr:to>
    <xdr:graphicFrame>
      <xdr:nvGraphicFramePr>
        <xdr:cNvPr id="4" name="Chart 3"/>
        <xdr:cNvGraphicFramePr/>
      </xdr:nvGraphicFramePr>
      <xdr:xfrm>
        <a:off x="1371600" y="3632200"/>
        <a:ext cx="4566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view="pageBreakPreview" zoomScaleNormal="100" workbookViewId="0">
      <selection activeCell="L16" sqref="L16"/>
    </sheetView>
  </sheetViews>
  <sheetFormatPr defaultColWidth="9" defaultRowHeight="15"/>
  <cols>
    <col min="4" max="4" width="9.37333333333333"/>
    <col min="7" max="7" width="9" style="5"/>
    <col min="9" max="9" width="9.37333333333333" style="5"/>
    <col min="10" max="10" width="4.27333333333333" customWidth="1"/>
    <col min="11" max="11" width="14" customWidth="1"/>
  </cols>
  <sheetData>
    <row r="1" spans="1:9">
      <c r="A1" s="1" t="s">
        <v>0</v>
      </c>
      <c r="B1" s="1"/>
      <c r="C1" s="1"/>
      <c r="D1" s="1"/>
      <c r="E1" s="1"/>
      <c r="F1" s="1"/>
      <c r="G1" s="6"/>
      <c r="H1" s="1"/>
      <c r="I1" s="6"/>
    </row>
    <row r="2" ht="30" spans="1:1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7" t="s">
        <v>6</v>
      </c>
      <c r="G2" s="8" t="s">
        <v>7</v>
      </c>
      <c r="H2" s="3" t="s">
        <v>8</v>
      </c>
      <c r="I2" s="8" t="s">
        <v>9</v>
      </c>
      <c r="K2" s="1" t="s">
        <v>10</v>
      </c>
      <c r="L2" s="1"/>
    </row>
    <row r="3" spans="1:12">
      <c r="A3" s="2" t="s">
        <v>11</v>
      </c>
      <c r="B3" s="4">
        <v>16</v>
      </c>
      <c r="C3" s="4">
        <f>B3*$L$3</f>
        <v>26.56</v>
      </c>
      <c r="D3" s="4">
        <v>103</v>
      </c>
      <c r="E3" s="4">
        <f>D3*$L$4</f>
        <v>62.83</v>
      </c>
      <c r="F3" s="4">
        <v>26</v>
      </c>
      <c r="G3" s="4">
        <f>L$5*F3</f>
        <v>23.4</v>
      </c>
      <c r="H3" s="4">
        <f>VLOOKUP(A3,电话费!A$3:B$12,2,FALSE)</f>
        <v>89.6</v>
      </c>
      <c r="I3" s="4">
        <f>C3+E3+G3</f>
        <v>112.79</v>
      </c>
      <c r="K3" s="9" t="s">
        <v>12</v>
      </c>
      <c r="L3" s="10">
        <v>1.66</v>
      </c>
    </row>
    <row r="4" spans="1:12">
      <c r="A4" s="2" t="s">
        <v>13</v>
      </c>
      <c r="B4" s="4">
        <v>10</v>
      </c>
      <c r="C4" s="4">
        <f t="shared" ref="C4:C14" si="0">B4*$L$3</f>
        <v>16.6</v>
      </c>
      <c r="D4" s="4">
        <v>80</v>
      </c>
      <c r="E4" s="4">
        <f t="shared" ref="E4:E15" si="1">D4*$L$4</f>
        <v>48.8</v>
      </c>
      <c r="F4" s="4">
        <v>21</v>
      </c>
      <c r="G4" s="4">
        <f t="shared" ref="G4:G14" si="2">L$5*F4</f>
        <v>18.9</v>
      </c>
      <c r="H4" s="4">
        <f>VLOOKUP(A4,电话费!A$3:B$12,2,FALSE)</f>
        <v>58.9</v>
      </c>
      <c r="I4" s="4">
        <f t="shared" ref="I4:I14" si="3">C4+E4+G4</f>
        <v>84.3</v>
      </c>
      <c r="K4" s="9" t="s">
        <v>14</v>
      </c>
      <c r="L4" s="10">
        <v>0.61</v>
      </c>
    </row>
    <row r="5" spans="1:12">
      <c r="A5" s="2" t="s">
        <v>15</v>
      </c>
      <c r="B5" s="4">
        <v>9</v>
      </c>
      <c r="C5" s="4">
        <f t="shared" si="0"/>
        <v>14.94</v>
      </c>
      <c r="D5" s="4">
        <v>82</v>
      </c>
      <c r="E5" s="4">
        <f t="shared" si="1"/>
        <v>50.02</v>
      </c>
      <c r="F5" s="4">
        <v>20</v>
      </c>
      <c r="G5" s="4">
        <f t="shared" si="2"/>
        <v>18</v>
      </c>
      <c r="H5" s="4">
        <f>VLOOKUP(A5,电话费!A$3:B$12,2,FALSE)</f>
        <v>67.6</v>
      </c>
      <c r="I5" s="4">
        <f t="shared" si="3"/>
        <v>82.96</v>
      </c>
      <c r="K5" s="11" t="s">
        <v>16</v>
      </c>
      <c r="L5" s="10">
        <v>0.9</v>
      </c>
    </row>
    <row r="6" spans="1:9">
      <c r="A6" s="2" t="s">
        <v>17</v>
      </c>
      <c r="B6" s="4">
        <v>11</v>
      </c>
      <c r="C6" s="4">
        <f t="shared" si="0"/>
        <v>18.26</v>
      </c>
      <c r="D6" s="4">
        <v>78</v>
      </c>
      <c r="E6" s="4">
        <f t="shared" si="1"/>
        <v>47.58</v>
      </c>
      <c r="F6" s="4">
        <v>22</v>
      </c>
      <c r="G6" s="4">
        <f t="shared" si="2"/>
        <v>19.8</v>
      </c>
      <c r="H6" s="4">
        <f>VLOOKUP(A6,电话费!A$3:B$12,2,FALSE)</f>
        <v>78</v>
      </c>
      <c r="I6" s="4">
        <f t="shared" si="3"/>
        <v>85.64</v>
      </c>
    </row>
    <row r="7" spans="1:9">
      <c r="A7" s="2" t="s">
        <v>18</v>
      </c>
      <c r="B7" s="4">
        <v>10</v>
      </c>
      <c r="C7" s="4">
        <f t="shared" si="0"/>
        <v>16.6</v>
      </c>
      <c r="D7" s="4">
        <v>81</v>
      </c>
      <c r="E7" s="4">
        <f t="shared" si="1"/>
        <v>49.41</v>
      </c>
      <c r="F7" s="4">
        <v>19</v>
      </c>
      <c r="G7" s="4">
        <f t="shared" si="2"/>
        <v>17.1</v>
      </c>
      <c r="H7" s="4">
        <f>VLOOKUP(A7,电话费!A$3:B$12,2,FALSE)</f>
        <v>64.3</v>
      </c>
      <c r="I7" s="4">
        <f t="shared" si="3"/>
        <v>83.11</v>
      </c>
    </row>
    <row r="8" spans="1:9">
      <c r="A8" s="2" t="s">
        <v>19</v>
      </c>
      <c r="B8" s="4">
        <v>12</v>
      </c>
      <c r="C8" s="4">
        <f t="shared" si="0"/>
        <v>19.92</v>
      </c>
      <c r="D8" s="4">
        <v>79</v>
      </c>
      <c r="E8" s="4">
        <f t="shared" si="1"/>
        <v>48.19</v>
      </c>
      <c r="F8" s="4">
        <v>20</v>
      </c>
      <c r="G8" s="4">
        <f t="shared" si="2"/>
        <v>18</v>
      </c>
      <c r="H8" s="4">
        <v>66.3</v>
      </c>
      <c r="I8" s="4">
        <f t="shared" si="3"/>
        <v>86.11</v>
      </c>
    </row>
    <row r="9" spans="1:9">
      <c r="A9" s="2" t="s">
        <v>20</v>
      </c>
      <c r="B9" s="4">
        <v>18</v>
      </c>
      <c r="C9" s="4">
        <f t="shared" si="0"/>
        <v>29.88</v>
      </c>
      <c r="D9" s="4">
        <v>114</v>
      </c>
      <c r="E9" s="4">
        <f t="shared" si="1"/>
        <v>69.54</v>
      </c>
      <c r="F9" s="4">
        <v>17</v>
      </c>
      <c r="G9" s="4">
        <f t="shared" si="2"/>
        <v>15.3</v>
      </c>
      <c r="H9" s="4">
        <v>120.8</v>
      </c>
      <c r="I9" s="4">
        <f t="shared" si="3"/>
        <v>114.72</v>
      </c>
    </row>
    <row r="10" spans="1:9">
      <c r="A10" s="2" t="s">
        <v>21</v>
      </c>
      <c r="B10" s="4">
        <v>19</v>
      </c>
      <c r="C10" s="4">
        <f t="shared" si="0"/>
        <v>31.54</v>
      </c>
      <c r="D10" s="4">
        <v>116</v>
      </c>
      <c r="E10" s="4">
        <f t="shared" si="1"/>
        <v>70.76</v>
      </c>
      <c r="F10" s="4">
        <v>18</v>
      </c>
      <c r="G10" s="4">
        <f t="shared" si="2"/>
        <v>16.2</v>
      </c>
      <c r="H10" s="4">
        <v>120.8</v>
      </c>
      <c r="I10" s="4">
        <f t="shared" si="3"/>
        <v>118.5</v>
      </c>
    </row>
    <row r="11" spans="1:9">
      <c r="A11" s="2" t="s">
        <v>22</v>
      </c>
      <c r="B11" s="4">
        <v>12</v>
      </c>
      <c r="C11" s="4">
        <f t="shared" si="0"/>
        <v>19.92</v>
      </c>
      <c r="D11" s="4">
        <v>83</v>
      </c>
      <c r="E11" s="4">
        <f t="shared" si="1"/>
        <v>50.63</v>
      </c>
      <c r="F11" s="4">
        <v>21</v>
      </c>
      <c r="G11" s="4">
        <f t="shared" si="2"/>
        <v>18.9</v>
      </c>
      <c r="H11" s="4">
        <v>70.1</v>
      </c>
      <c r="I11" s="4">
        <f t="shared" si="3"/>
        <v>89.45</v>
      </c>
    </row>
    <row r="12" spans="1:9">
      <c r="A12" s="2" t="s">
        <v>23</v>
      </c>
      <c r="B12" s="4">
        <v>10</v>
      </c>
      <c r="C12" s="4">
        <f t="shared" si="0"/>
        <v>16.6</v>
      </c>
      <c r="D12" s="4">
        <v>81</v>
      </c>
      <c r="E12" s="4">
        <f t="shared" si="1"/>
        <v>49.41</v>
      </c>
      <c r="F12" s="4">
        <v>23</v>
      </c>
      <c r="G12" s="4">
        <f t="shared" si="2"/>
        <v>20.7</v>
      </c>
      <c r="H12" s="4">
        <v>65.5</v>
      </c>
      <c r="I12" s="4">
        <f t="shared" si="3"/>
        <v>86.71</v>
      </c>
    </row>
    <row r="13" spans="1:9">
      <c r="A13" s="2" t="s">
        <v>24</v>
      </c>
      <c r="B13" s="4">
        <v>11</v>
      </c>
      <c r="C13" s="4">
        <f t="shared" si="0"/>
        <v>18.26</v>
      </c>
      <c r="D13" s="4">
        <v>82</v>
      </c>
      <c r="E13" s="4">
        <f t="shared" si="1"/>
        <v>50.02</v>
      </c>
      <c r="F13" s="4">
        <v>22</v>
      </c>
      <c r="G13" s="4">
        <f t="shared" si="2"/>
        <v>19.8</v>
      </c>
      <c r="H13" s="4">
        <v>63.9</v>
      </c>
      <c r="I13" s="4">
        <f t="shared" si="3"/>
        <v>88.08</v>
      </c>
    </row>
    <row r="14" spans="1:9">
      <c r="A14" s="2" t="s">
        <v>25</v>
      </c>
      <c r="B14" s="4">
        <v>9</v>
      </c>
      <c r="C14" s="4">
        <f t="shared" si="0"/>
        <v>14.94</v>
      </c>
      <c r="D14" s="4">
        <v>90</v>
      </c>
      <c r="E14" s="4">
        <f t="shared" si="1"/>
        <v>54.9</v>
      </c>
      <c r="F14" s="4">
        <v>23</v>
      </c>
      <c r="G14" s="4">
        <f t="shared" si="2"/>
        <v>20.7</v>
      </c>
      <c r="H14" s="4">
        <v>66.7</v>
      </c>
      <c r="I14" s="4">
        <f t="shared" si="3"/>
        <v>90.54</v>
      </c>
    </row>
  </sheetData>
  <mergeCells count="2">
    <mergeCell ref="A1:I1"/>
    <mergeCell ref="K2:L2"/>
  </mergeCells>
  <pageMargins left="0.75" right="0.75" top="1" bottom="1" header="0.5" footer="0.5"/>
  <pageSetup paperSize="9" scale="8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F13" sqref="F13"/>
    </sheetView>
  </sheetViews>
  <sheetFormatPr defaultColWidth="8.72666666666667" defaultRowHeight="15" outlineLevelCol="1"/>
  <cols>
    <col min="1" max="2" width="9"/>
  </cols>
  <sheetData>
    <row r="1" spans="1:2">
      <c r="A1" s="1" t="s">
        <v>26</v>
      </c>
      <c r="B1" s="1"/>
    </row>
    <row r="2" ht="30" spans="1:2">
      <c r="A2" s="2" t="s">
        <v>1</v>
      </c>
      <c r="B2" s="3" t="s">
        <v>8</v>
      </c>
    </row>
    <row r="3" spans="1:2">
      <c r="A3" s="2" t="s">
        <v>13</v>
      </c>
      <c r="B3" s="4">
        <v>58.9</v>
      </c>
    </row>
    <row r="4" spans="1:2">
      <c r="A4" s="2" t="s">
        <v>11</v>
      </c>
      <c r="B4" s="4">
        <v>89.6</v>
      </c>
    </row>
    <row r="5" spans="1:2">
      <c r="A5" s="2" t="s">
        <v>20</v>
      </c>
      <c r="B5" s="4">
        <v>120.8</v>
      </c>
    </row>
    <row r="6" spans="1:2">
      <c r="A6" s="2" t="s">
        <v>18</v>
      </c>
      <c r="B6" s="4">
        <v>64.3</v>
      </c>
    </row>
    <row r="7" spans="1:2">
      <c r="A7" s="2" t="s">
        <v>21</v>
      </c>
      <c r="B7" s="4">
        <v>108.9</v>
      </c>
    </row>
    <row r="8" spans="1:2">
      <c r="A8" s="2" t="s">
        <v>17</v>
      </c>
      <c r="B8" s="4">
        <v>78</v>
      </c>
    </row>
    <row r="9" spans="1:2">
      <c r="A9" s="2" t="s">
        <v>19</v>
      </c>
      <c r="B9" s="4">
        <v>66.3</v>
      </c>
    </row>
    <row r="10" spans="1:2">
      <c r="A10" s="2" t="s">
        <v>22</v>
      </c>
      <c r="B10" s="4">
        <v>70.1</v>
      </c>
    </row>
    <row r="11" spans="1:2">
      <c r="A11" s="2" t="s">
        <v>25</v>
      </c>
      <c r="B11" s="4">
        <v>66.7</v>
      </c>
    </row>
    <row r="12" spans="1:2">
      <c r="A12" s="2" t="s">
        <v>15</v>
      </c>
      <c r="B12" s="4">
        <v>67.6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总计</vt:lpstr>
      <vt:lpstr>电话费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bgp1984</cp:lastModifiedBy>
  <dcterms:created xsi:type="dcterms:W3CDTF">2023-02-12T19:34:00Z</dcterms:created>
  <dcterms:modified xsi:type="dcterms:W3CDTF">2025-12-20T22:38:27Z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854F1F1758A24A0CA1F5EDA210C633F6</vt:lpwstr>
  </property>
  <property fmtid="{D5CDD505-2E9C-101B-9397-08002B2CF9AE}" pid="3" name="KSOProductBuildVer">
    <vt:lpwstr>1033-11.1.0.11723</vt:lpwstr>
  </property>
  <property fmtid="{D5CDD505-2E9C-101B-9397-08002B2CF9AE}" pid="4" name="CalculationRule">
    <vt:i4>0</vt:i4>
  </property>
</Properties>
</file>