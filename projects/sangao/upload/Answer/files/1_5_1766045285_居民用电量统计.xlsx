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<sst xmlns="http://schemas.openxmlformats.org/spreadsheetml/2006/main" count="37" uniqueCount="26">
  <si>
    <t>2022下半年阳光小区9幢居民楼用电量统计</t>
  </si>
  <si>
    <t>单元</t>
  </si>
  <si>
    <t>房间号</t>
  </si>
  <si>
    <t>第3季度</t>
  </si>
  <si>
    <t>第4季度</t>
  </si>
  <si>
    <t>峰电量</t>
  </si>
  <si>
    <t>谷电量</t>
  </si>
  <si>
    <t>电费</t>
  </si>
  <si>
    <t>1单元</t>
  </si>
  <si>
    <t>901#</t>
  </si>
  <si>
    <t>902#</t>
  </si>
  <si>
    <t>903#</t>
  </si>
  <si>
    <t>2单元</t>
  </si>
  <si>
    <t>904#</t>
  </si>
  <si>
    <t>905#</t>
  </si>
  <si>
    <t>906#</t>
  </si>
  <si>
    <t>3单元</t>
  </si>
  <si>
    <t>907#</t>
  </si>
  <si>
    <t>908#</t>
  </si>
  <si>
    <t>909#</t>
  </si>
  <si>
    <t>4单元</t>
  </si>
  <si>
    <t>910#</t>
  </si>
  <si>
    <t>911#</t>
  </si>
  <si>
    <t>912#</t>
  </si>
  <si>
    <t>第3季度电费最大值</t>
  </si>
  <si>
    <t>第4季度电费最大值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</si>
</sst>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K18" sqref="K18"/>
    </sheetView>
  </sheetViews>
  <sheetFormatPr defaultColWidth="9" defaultRowHeight="13.5" outlineLevelCol="7"/>
  <cols>
    <col min="5" max="5" width="9" style="1"/>
    <col min="8" max="8" width="9" style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/>
      <c r="E2" s="4"/>
      <c r="F2" s="3" t="s">
        <v>4</v>
      </c>
      <c r="G2" s="3"/>
      <c r="H2" s="4"/>
    </row>
    <row r="3" spans="1:8">
      <c r="A3" s="3"/>
      <c r="B3" s="3"/>
      <c r="C3" s="5" t="s">
        <v>5</v>
      </c>
      <c r="D3" s="5" t="s">
        <v>6</v>
      </c>
      <c r="E3" s="6" t="s">
        <v>7</v>
      </c>
      <c r="F3" s="5" t="s">
        <v>5</v>
      </c>
      <c r="G3" s="5" t="s">
        <v>6</v>
      </c>
      <c r="H3" s="6" t="s">
        <v>7</v>
      </c>
    </row>
    <row r="4" spans="1:8">
      <c r="A4" s="5" t="s">
        <v>8</v>
      </c>
      <c r="B4" s="5" t="s">
        <v>9</v>
      </c>
      <c r="C4" s="5">
        <v>169</v>
      </c>
      <c r="D4" s="5">
        <v>68</v>
      </c>
      <c r="E4" s="6">
        <f>C4*0.8+D4*0.6</f>
        <v>176</v>
      </c>
      <c r="F4" s="5">
        <v>265</v>
      </c>
      <c r="G4" s="5">
        <v>97</v>
      </c>
      <c r="H4" s="6">
        <f>F4*0.8+G4*0.6</f>
        <v>270.2</v>
      </c>
    </row>
    <row r="5" spans="1:8">
      <c r="A5" s="5" t="s">
        <v>8</v>
      </c>
      <c r="B5" s="5" t="s">
        <v>10</v>
      </c>
      <c r="C5" s="5">
        <v>235</v>
      </c>
      <c r="D5" s="5">
        <v>58</v>
      </c>
      <c r="E5" s="6">
        <f t="shared" ref="E5:E15" si="0">C5*0.8+D5*0.6</f>
        <v>222.8</v>
      </c>
      <c r="F5" s="5">
        <v>325</v>
      </c>
      <c r="G5" s="5">
        <v>124</v>
      </c>
      <c r="H5" s="6">
        <f t="shared" ref="H5:H15" si="1">F5*0.8+G5*0.6</f>
        <v>334.4</v>
      </c>
    </row>
    <row r="6" spans="1:8">
      <c r="A6" s="5" t="s">
        <v>8</v>
      </c>
      <c r="B6" s="5" t="s">
        <v>11</v>
      </c>
      <c r="C6" s="5">
        <v>214</v>
      </c>
      <c r="D6" s="5">
        <v>88</v>
      </c>
      <c r="E6" s="6">
        <f t="shared" si="0"/>
        <v>224</v>
      </c>
      <c r="F6" s="5">
        <v>268</v>
      </c>
      <c r="G6" s="5">
        <v>102</v>
      </c>
      <c r="H6" s="6">
        <f t="shared" si="1"/>
        <v>275.6</v>
      </c>
    </row>
    <row r="7" spans="1:8">
      <c r="A7" s="5" t="s">
        <v>12</v>
      </c>
      <c r="B7" s="5" t="s">
        <v>13</v>
      </c>
      <c r="C7" s="5">
        <v>198</v>
      </c>
      <c r="D7" s="5">
        <v>88</v>
      </c>
      <c r="E7" s="6">
        <f t="shared" si="0"/>
        <v>211.2</v>
      </c>
      <c r="F7" s="5">
        <v>259</v>
      </c>
      <c r="G7" s="5">
        <v>236</v>
      </c>
      <c r="H7" s="6">
        <f t="shared" si="1"/>
        <v>348.8</v>
      </c>
    </row>
    <row r="8" spans="1:8">
      <c r="A8" s="5" t="s">
        <v>12</v>
      </c>
      <c r="B8" s="5" t="s">
        <v>14</v>
      </c>
      <c r="C8" s="5">
        <v>236</v>
      </c>
      <c r="D8" s="5">
        <v>102</v>
      </c>
      <c r="E8" s="6">
        <f t="shared" si="0"/>
        <v>250</v>
      </c>
      <c r="F8" s="5">
        <v>358</v>
      </c>
      <c r="G8" s="5">
        <v>125</v>
      </c>
      <c r="H8" s="6">
        <f t="shared" si="1"/>
        <v>361.4</v>
      </c>
    </row>
    <row r="9" spans="1:8">
      <c r="A9" s="5" t="s">
        <v>12</v>
      </c>
      <c r="B9" s="5" t="s">
        <v>15</v>
      </c>
      <c r="C9" s="5">
        <v>193</v>
      </c>
      <c r="D9" s="5">
        <v>121</v>
      </c>
      <c r="E9" s="6">
        <f t="shared" si="0"/>
        <v>227</v>
      </c>
      <c r="F9" s="5">
        <v>245</v>
      </c>
      <c r="G9" s="5">
        <v>165</v>
      </c>
      <c r="H9" s="6">
        <f t="shared" si="1"/>
        <v>295</v>
      </c>
    </row>
    <row r="10" spans="1:8">
      <c r="A10" s="5" t="s">
        <v>16</v>
      </c>
      <c r="B10" s="5" t="s">
        <v>17</v>
      </c>
      <c r="C10" s="5">
        <v>332</v>
      </c>
      <c r="D10" s="5">
        <v>156</v>
      </c>
      <c r="E10" s="6">
        <f t="shared" si="0"/>
        <v>359.2</v>
      </c>
      <c r="F10" s="5">
        <v>298</v>
      </c>
      <c r="G10" s="5">
        <v>120</v>
      </c>
      <c r="H10" s="6">
        <f t="shared" si="1"/>
        <v>310.4</v>
      </c>
    </row>
    <row r="11" spans="1:8">
      <c r="A11" s="5" t="s">
        <v>16</v>
      </c>
      <c r="B11" s="5" t="s">
        <v>18</v>
      </c>
      <c r="C11" s="5">
        <v>256</v>
      </c>
      <c r="D11" s="5">
        <v>98</v>
      </c>
      <c r="E11" s="6">
        <f t="shared" si="0"/>
        <v>263.6</v>
      </c>
      <c r="F11" s="5">
        <v>321</v>
      </c>
      <c r="G11" s="5">
        <v>79</v>
      </c>
      <c r="H11" s="6">
        <f t="shared" si="1"/>
        <v>304.2</v>
      </c>
    </row>
    <row r="12" spans="1:8">
      <c r="A12" s="5" t="s">
        <v>16</v>
      </c>
      <c r="B12" s="5" t="s">
        <v>19</v>
      </c>
      <c r="C12" s="5">
        <v>298</v>
      </c>
      <c r="D12" s="5">
        <v>145</v>
      </c>
      <c r="E12" s="6">
        <f t="shared" si="0"/>
        <v>325.4</v>
      </c>
      <c r="F12" s="5">
        <v>289</v>
      </c>
      <c r="G12" s="5">
        <v>68</v>
      </c>
      <c r="H12" s="6">
        <f t="shared" si="1"/>
        <v>272</v>
      </c>
    </row>
    <row r="13" spans="1:8">
      <c r="A13" s="5" t="s">
        <v>20</v>
      </c>
      <c r="B13" s="5" t="s">
        <v>21</v>
      </c>
      <c r="C13" s="5">
        <v>356</v>
      </c>
      <c r="D13" s="5">
        <v>112</v>
      </c>
      <c r="E13" s="6">
        <f t="shared" si="0"/>
        <v>352</v>
      </c>
      <c r="F13" s="5">
        <v>247</v>
      </c>
      <c r="G13" s="5">
        <v>98</v>
      </c>
      <c r="H13" s="6">
        <f t="shared" si="1"/>
        <v>256.4</v>
      </c>
    </row>
    <row r="14" spans="1:8">
      <c r="A14" s="5" t="s">
        <v>20</v>
      </c>
      <c r="B14" s="5" t="s">
        <v>22</v>
      </c>
      <c r="C14" s="5">
        <v>188</v>
      </c>
      <c r="D14" s="5">
        <v>87</v>
      </c>
      <c r="E14" s="6">
        <f t="shared" si="0"/>
        <v>202.6</v>
      </c>
      <c r="F14" s="5">
        <v>269</v>
      </c>
      <c r="G14" s="5">
        <v>102</v>
      </c>
      <c r="H14" s="6">
        <f t="shared" si="1"/>
        <v>276.4</v>
      </c>
    </row>
    <row r="15" spans="1:8">
      <c r="A15" s="5" t="s">
        <v>20</v>
      </c>
      <c r="B15" s="5" t="s">
        <v>23</v>
      </c>
      <c r="C15" s="5">
        <v>248</v>
      </c>
      <c r="D15" s="5">
        <v>69</v>
      </c>
      <c r="E15" s="6">
        <f t="shared" si="0"/>
        <v>239.8</v>
      </c>
      <c r="F15" s="5">
        <v>324</v>
      </c>
      <c r="G15" s="5">
        <v>110</v>
      </c>
      <c r="H15" s="6">
        <f t="shared" si="1"/>
        <v>325.2</v>
      </c>
    </row>
    <row r="16" spans="1:8">
      <c r="A16" s="5"/>
      <c r="B16" s="5"/>
      <c r="C16" s="3" t="s">
        <v>24</v>
      </c>
      <c r="D16" s="3"/>
      <c r="E16" s="6"/>
      <c r="F16" s="3" t="s">
        <v>25</v>
      </c>
      <c r="G16" s="3"/>
      <c r="H16" s="6"/>
    </row>
  </sheetData>
  <mergeCells count="7">
    <mergeCell ref="A1:H1"/>
    <mergeCell ref="C2:E2"/>
    <mergeCell ref="F2:H2"/>
    <mergeCell ref="C16:D16"/>
    <mergeCell ref="F16:G16"/>
    <mergeCell ref="A2:A3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2023-02-12T09:15:00Z</dcterms:created>
  <dcterms:modified xsi:type="dcterms:W3CDTF">2025-12-18T08:07:48Z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0381390362DC42A784747BB0691539B7</vt:lpwstr>
  </property>
  <property fmtid="{D5CDD505-2E9C-101B-9397-08002B2CF9AE}" pid="3" name="KSOProductBuildVer">
    <vt:lpwstr>2052-11.8.2.11813</vt:lpwstr>
  </property>
</Properties>
</file>