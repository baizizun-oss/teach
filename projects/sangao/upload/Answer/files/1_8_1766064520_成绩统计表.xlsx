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8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<sst xmlns="http://schemas.openxmlformats.org/spreadsheetml/2006/main" count="25" uniqueCount="25">
  <si>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科技节3D打印三维建模竞速赛决赛成绩统计表（高一年级）</t>
  </si>
  <si>
    <t>序号</t>
  </si>
  <si>
    <t>班级</t>
  </si>
  <si>
    <t>选手姓名</t>
  </si>
  <si>
    <t>用时（分钟）</t>
  </si>
  <si>
    <t>图形得分</t>
  </si>
  <si>
    <t>尺寸标注得分</t>
  </si>
  <si>
    <t>总得分</t>
  </si>
  <si>
    <t>白云翔</t>
  </si>
  <si>
    <t>熊一可</t>
  </si>
  <si>
    <t>章江</t>
  </si>
  <si>
    <t>吴楠</t>
  </si>
  <si>
    <t>彭文婷</t>
  </si>
  <si>
    <t>邱谢添</t>
  </si>
  <si>
    <t>张天裕</t>
  </si>
  <si>
    <t>陈菁昊</t>
  </si>
  <si>
    <t>傅晓轩</t>
  </si>
  <si>
    <t>姜超然</t>
  </si>
  <si>
    <t>熊浩焜</t>
  </si>
  <si>
    <t>吴绍云</t>
  </si>
  <si>
    <t>熊沁</t>
  </si>
  <si>
    <t>龚熙祯</t>
  </si>
  <si>
    <t>黄徐涛</t>
  </si>
  <si>
    <t>统计</t>
  </si>
  <si>
    <t>得分最高分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</si>
</sst>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1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6" fillId="19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13" fillId="16" borderId="10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9" borderId="10" applyNumberFormat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" borderId="6" applyNumberForma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G3" sqref="G3:G17"/>
    </sheetView>
  </sheetViews>
  <sheetFormatPr defaultColWidth="9" defaultRowHeight="15" outlineLevelCol="7"/>
  <cols>
    <col min="4" max="4" width="12.8733333333333" customWidth="1"/>
    <col min="6" max="6" width="12.8733333333333" customWidth="1"/>
  </cols>
  <sheetData>
    <row r="1" ht="33" customHeight="1" spans="1:8">
      <c r="A1" s="1" t="s">
        <v>0</v>
      </c>
      <c r="B1" s="1"/>
      <c r="C1" s="1"/>
      <c r="D1" s="1"/>
      <c r="E1" s="1"/>
      <c r="F1" s="1"/>
      <c r="G1" s="1"/>
      <c r="H1" s="6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2">
        <v>1</v>
      </c>
      <c r="B3" s="2">
        <v>1</v>
      </c>
      <c r="C3" s="2" t="s">
        <v>8</v>
      </c>
      <c r="D3" s="2">
        <v>14</v>
      </c>
      <c r="E3" s="2">
        <v>70</v>
      </c>
      <c r="F3" s="2">
        <v>22</v>
      </c>
      <c r="G3" s="2">
        <f>E3+F3</f>
        <v>92</v>
      </c>
    </row>
    <row r="4" spans="1:7">
      <c r="A4" s="2">
        <v>2</v>
      </c>
      <c r="B4" s="2">
        <v>1</v>
      </c>
      <c r="C4" s="2" t="s">
        <v>9</v>
      </c>
      <c r="D4" s="2">
        <v>9</v>
      </c>
      <c r="E4" s="2">
        <v>70</v>
      </c>
      <c r="F4" s="2">
        <v>30</v>
      </c>
      <c r="G4" s="2">
        <f t="shared" ref="G4:G18" si="0">E4+F4</f>
        <v>100</v>
      </c>
    </row>
    <row r="5" spans="1:7">
      <c r="A5" s="2">
        <v>3</v>
      </c>
      <c r="B5" s="2">
        <v>1</v>
      </c>
      <c r="C5" s="2" t="s">
        <v>10</v>
      </c>
      <c r="D5" s="2">
        <v>16</v>
      </c>
      <c r="E5" s="2">
        <v>66</v>
      </c>
      <c r="F5" s="2">
        <v>22</v>
      </c>
      <c r="G5" s="2">
        <f t="shared" si="0"/>
        <v>88</v>
      </c>
    </row>
    <row r="6" spans="1:7">
      <c r="A6" s="2">
        <v>4</v>
      </c>
      <c r="B6" s="2">
        <v>2</v>
      </c>
      <c r="C6" s="2" t="s">
        <v>11</v>
      </c>
      <c r="D6" s="2">
        <v>11</v>
      </c>
      <c r="E6" s="2">
        <v>70</v>
      </c>
      <c r="F6" s="2">
        <v>20</v>
      </c>
      <c r="G6" s="2">
        <f t="shared" si="0"/>
        <v>90</v>
      </c>
    </row>
    <row r="7" spans="1:7">
      <c r="A7" s="2">
        <v>5</v>
      </c>
      <c r="B7" s="2">
        <v>2</v>
      </c>
      <c r="C7" s="2" t="s">
        <v>12</v>
      </c>
      <c r="D7" s="2">
        <v>7</v>
      </c>
      <c r="E7" s="2">
        <v>62</v>
      </c>
      <c r="F7" s="2">
        <v>20</v>
      </c>
      <c r="G7" s="2">
        <f t="shared" si="0"/>
        <v>82</v>
      </c>
    </row>
    <row r="8" spans="1:7">
      <c r="A8" s="2">
        <v>6</v>
      </c>
      <c r="B8" s="2">
        <v>2</v>
      </c>
      <c r="C8" s="2" t="s">
        <v>13</v>
      </c>
      <c r="D8" s="2">
        <v>10</v>
      </c>
      <c r="E8" s="2">
        <v>62</v>
      </c>
      <c r="F8" s="2">
        <v>20</v>
      </c>
      <c r="G8" s="2">
        <f t="shared" si="0"/>
        <v>82</v>
      </c>
    </row>
    <row r="9" spans="1:7">
      <c r="A9" s="2">
        <v>7</v>
      </c>
      <c r="B9" s="2">
        <v>3</v>
      </c>
      <c r="C9" s="2" t="s">
        <v>14</v>
      </c>
      <c r="D9" s="2">
        <v>17</v>
      </c>
      <c r="E9" s="2">
        <v>70</v>
      </c>
      <c r="F9" s="2">
        <v>26</v>
      </c>
      <c r="G9" s="2">
        <f t="shared" si="0"/>
        <v>96</v>
      </c>
    </row>
    <row r="10" spans="1:7">
      <c r="A10" s="2">
        <v>8</v>
      </c>
      <c r="B10" s="2">
        <v>3</v>
      </c>
      <c r="C10" s="2" t="s">
        <v>15</v>
      </c>
      <c r="D10" s="2">
        <v>8</v>
      </c>
      <c r="E10" s="2">
        <v>70</v>
      </c>
      <c r="F10" s="2">
        <v>30</v>
      </c>
      <c r="G10" s="2">
        <f t="shared" si="0"/>
        <v>100</v>
      </c>
    </row>
    <row r="11" spans="1:7">
      <c r="A11" s="2">
        <v>9</v>
      </c>
      <c r="B11" s="2">
        <v>3</v>
      </c>
      <c r="C11" s="2" t="s">
        <v>16</v>
      </c>
      <c r="D11" s="2">
        <v>9</v>
      </c>
      <c r="E11" s="2">
        <v>70</v>
      </c>
      <c r="F11" s="2">
        <v>20</v>
      </c>
      <c r="G11" s="2">
        <f t="shared" si="0"/>
        <v>90</v>
      </c>
    </row>
    <row r="12" spans="1:7">
      <c r="A12" s="2">
        <v>10</v>
      </c>
      <c r="B12" s="2">
        <v>4</v>
      </c>
      <c r="C12" s="2" t="s">
        <v>17</v>
      </c>
      <c r="D12" s="2">
        <v>10</v>
      </c>
      <c r="E12" s="2">
        <v>66</v>
      </c>
      <c r="F12" s="2">
        <v>24</v>
      </c>
      <c r="G12" s="2">
        <f t="shared" si="0"/>
        <v>90</v>
      </c>
    </row>
    <row r="13" spans="1:7">
      <c r="A13" s="2">
        <v>11</v>
      </c>
      <c r="B13" s="2">
        <v>4</v>
      </c>
      <c r="C13" s="2" t="s">
        <v>18</v>
      </c>
      <c r="D13" s="2">
        <v>12</v>
      </c>
      <c r="E13" s="2">
        <v>64</v>
      </c>
      <c r="F13" s="2">
        <v>22</v>
      </c>
      <c r="G13" s="2">
        <f t="shared" si="0"/>
        <v>86</v>
      </c>
    </row>
    <row r="14" spans="1:7">
      <c r="A14" s="2">
        <v>12</v>
      </c>
      <c r="B14" s="2">
        <v>4</v>
      </c>
      <c r="C14" s="2" t="s">
        <v>19</v>
      </c>
      <c r="D14" s="2">
        <v>11</v>
      </c>
      <c r="E14" s="2">
        <v>62</v>
      </c>
      <c r="F14" s="2">
        <v>22</v>
      </c>
      <c r="G14" s="2">
        <f t="shared" si="0"/>
        <v>84</v>
      </c>
    </row>
    <row r="15" spans="1:7">
      <c r="A15" s="2">
        <v>13</v>
      </c>
      <c r="B15" s="2">
        <v>5</v>
      </c>
      <c r="C15" s="2" t="s">
        <v>20</v>
      </c>
      <c r="D15" s="2">
        <v>20</v>
      </c>
      <c r="E15" s="2">
        <v>65</v>
      </c>
      <c r="F15" s="2">
        <v>26</v>
      </c>
      <c r="G15" s="2">
        <f t="shared" si="0"/>
        <v>91</v>
      </c>
    </row>
    <row r="16" spans="1:7">
      <c r="A16" s="2">
        <v>14</v>
      </c>
      <c r="B16" s="2">
        <v>5</v>
      </c>
      <c r="C16" s="2" t="s">
        <v>21</v>
      </c>
      <c r="D16" s="2">
        <v>11</v>
      </c>
      <c r="E16" s="2">
        <v>70</v>
      </c>
      <c r="F16" s="2">
        <v>28</v>
      </c>
      <c r="G16" s="2">
        <f t="shared" si="0"/>
        <v>98</v>
      </c>
    </row>
    <row r="17" spans="1:7">
      <c r="A17" s="2">
        <v>15</v>
      </c>
      <c r="B17" s="2">
        <v>5</v>
      </c>
      <c r="C17" s="2" t="s">
        <v>22</v>
      </c>
      <c r="D17" s="2">
        <v>12</v>
      </c>
      <c r="E17" s="2">
        <v>70</v>
      </c>
      <c r="F17" s="2">
        <v>22</v>
      </c>
      <c r="G17" s="2">
        <f t="shared" si="0"/>
        <v>92</v>
      </c>
    </row>
    <row r="18" spans="1:7">
      <c r="A18" s="3" t="s">
        <v>23</v>
      </c>
      <c r="B18" s="4"/>
      <c r="C18" s="5"/>
      <c r="D18" s="2" t="s">
        <v>24</v>
      </c>
      <c r="E18" s="2">
        <f>MAX(E3:E17)</f>
        <v>70</v>
      </c>
      <c r="F18" s="2">
        <f>MAX(F3:F17)</f>
        <v>30</v>
      </c>
      <c r="G18" s="2">
        <f>MAX(G3:G17)</f>
        <v>100</v>
      </c>
    </row>
  </sheetData>
  <mergeCells count="2">
    <mergeCell ref="A1:G1"/>
    <mergeCell ref="A18:C18"/>
  </mergeCells>
  <conditionalFormatting sqref="E3:E17">
    <cfRule type="cellIs" dxfId="0" priority="3" operator="equal">
      <formula>70</formula>
    </cfRule>
  </conditionalFormatting>
  <conditionalFormatting sqref="F3:F17">
    <cfRule type="cellIs" dxfId="0" priority="2" operator="equal">
      <formula>30</formula>
    </cfRule>
  </conditionalFormatting>
  <conditionalFormatting sqref="G3:G17">
    <cfRule type="cellIs" dxfId="1" priority="1" operator="equal">
      <formula>100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bgp1984</cp:lastModifiedBy>
  <dcterms:created xsi:type="dcterms:W3CDTF">2023-02-12T17:59:00Z</dcterms:created>
  <dcterms:modified xsi:type="dcterms:W3CDTF">2025-12-15T19:51:19Z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1385EF30EF9A4844A377E20870F6E4AF</vt:lpwstr>
  </property>
  <property fmtid="{D5CDD505-2E9C-101B-9397-08002B2CF9AE}" pid="3" name="KSOProductBuildVer">
    <vt:lpwstr>1033-11.1.0.11723</vt:lpwstr>
  </property>
</Properties>
</file>