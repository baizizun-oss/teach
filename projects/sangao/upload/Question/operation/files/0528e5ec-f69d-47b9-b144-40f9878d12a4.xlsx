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8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<sst xmlns="http://schemas.openxmlformats.org/spreadsheetml/2006/main" count="37" uniqueCount="26">
  <si>
    <t>2022下半年阳光小区9幢居民楼用电量统计</t>
  </si>
  <si>
    <t>单元</t>
  </si>
  <si>
    <t>房间号</t>
  </si>
  <si>
    <t>第3季度</t>
  </si>
  <si>
    <t>第4季度</t>
  </si>
  <si>
    <t>峰电量</t>
  </si>
  <si>
    <t>谷电量</t>
  </si>
  <si>
    <t>电费</t>
  </si>
  <si>
    <t>1单元</t>
  </si>
  <si>
    <t>901#</t>
  </si>
  <si>
    <t>902#</t>
  </si>
  <si>
    <t>903#</t>
  </si>
  <si>
    <t>2单元</t>
  </si>
  <si>
    <t>904#</t>
  </si>
  <si>
    <t>905#</t>
  </si>
  <si>
    <t>906#</t>
  </si>
  <si>
    <t>3单元</t>
  </si>
  <si>
    <t>907#</t>
  </si>
  <si>
    <t>908#</t>
  </si>
  <si>
    <t>909#</t>
  </si>
  <si>
    <t>4单元</t>
  </si>
  <si>
    <t>910#</t>
  </si>
  <si>
    <t>911#</t>
  </si>
  <si>
    <t>912#</t>
  </si>
  <si>
    <t>第3季度电费最大值</t>
  </si>
  <si>
    <t>第4季度电费最大值</t>
  </si>
</sst>
</file>

<file path=xl/styles.xml><?xml version="1.0" encoding="utf-8"?>
<styleSheet xmlns="http://schemas.openxmlformats.org/spreadsheetml/2006/main">
  <numFmts count="5">
    <numFmt numFmtId="176" formatCode="0.0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18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0" fillId="17" borderId="7" applyNumberFormat="0" applyFont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23" borderId="5" applyNumberFormat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4" borderId="2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两个季度居民电费对比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"第3季度"</c:f>
              <c:strCache>
                <c:ptCount val="1"/>
                <c:pt idx="0">
                  <c:v>第3季度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Sheet1!$B$4:$B$15</c:f>
              <c:strCache>
                <c:ptCount val="12"/>
                <c:pt idx="0">
                  <c:v>901#</c:v>
                </c:pt>
                <c:pt idx="1">
                  <c:v>902#</c:v>
                </c:pt>
                <c:pt idx="2">
                  <c:v>903#</c:v>
                </c:pt>
                <c:pt idx="3">
                  <c:v>904#</c:v>
                </c:pt>
                <c:pt idx="4">
                  <c:v>905#</c:v>
                </c:pt>
                <c:pt idx="5">
                  <c:v>906#</c:v>
                </c:pt>
                <c:pt idx="6">
                  <c:v>907#</c:v>
                </c:pt>
                <c:pt idx="7">
                  <c:v>908#</c:v>
                </c:pt>
                <c:pt idx="8">
                  <c:v>909#</c:v>
                </c:pt>
                <c:pt idx="9">
                  <c:v>910#</c:v>
                </c:pt>
                <c:pt idx="10">
                  <c:v>911#</c:v>
                </c:pt>
                <c:pt idx="11">
                  <c:v>912#</c:v>
                </c:pt>
              </c:strCache>
            </c:strRef>
          </c:cat>
          <c:val>
            <c:numRef>
              <c:f>Sheet1!$E$4:$E$15</c:f>
              <c:numCache>
                <c:formatCode>0.0_ </c:formatCode>
                <c:ptCount val="12"/>
                <c:pt idx="0">
                  <c:v>176</c:v>
                </c:pt>
                <c:pt idx="1">
                  <c:v>222.8</c:v>
                </c:pt>
                <c:pt idx="2">
                  <c:v>224</c:v>
                </c:pt>
                <c:pt idx="3">
                  <c:v>211.2</c:v>
                </c:pt>
                <c:pt idx="4">
                  <c:v>250</c:v>
                </c:pt>
                <c:pt idx="5">
                  <c:v>227</c:v>
                </c:pt>
                <c:pt idx="6">
                  <c:v>359.2</c:v>
                </c:pt>
                <c:pt idx="7">
                  <c:v>263.6</c:v>
                </c:pt>
                <c:pt idx="8">
                  <c:v>325.4</c:v>
                </c:pt>
                <c:pt idx="9">
                  <c:v>352</c:v>
                </c:pt>
                <c:pt idx="10">
                  <c:v>202.6</c:v>
                </c:pt>
                <c:pt idx="11">
                  <c:v>239.8</c:v>
                </c:pt>
              </c:numCache>
            </c:numRef>
          </c:val>
        </c:ser>
        <c:ser>
          <c:idx val="1"/>
          <c:order val="1"/>
          <c:tx>
            <c:strRef>
              <c:f>"第4季度"</c:f>
              <c:strCache>
                <c:ptCount val="1"/>
                <c:pt idx="0">
                  <c:v>第4季度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Sheet1!$B$4:$B$15</c:f>
              <c:strCache>
                <c:ptCount val="12"/>
                <c:pt idx="0">
                  <c:v>901#</c:v>
                </c:pt>
                <c:pt idx="1">
                  <c:v>902#</c:v>
                </c:pt>
                <c:pt idx="2">
                  <c:v>903#</c:v>
                </c:pt>
                <c:pt idx="3">
                  <c:v>904#</c:v>
                </c:pt>
                <c:pt idx="4">
                  <c:v>905#</c:v>
                </c:pt>
                <c:pt idx="5">
                  <c:v>906#</c:v>
                </c:pt>
                <c:pt idx="6">
                  <c:v>907#</c:v>
                </c:pt>
                <c:pt idx="7">
                  <c:v>908#</c:v>
                </c:pt>
                <c:pt idx="8">
                  <c:v>909#</c:v>
                </c:pt>
                <c:pt idx="9">
                  <c:v>910#</c:v>
                </c:pt>
                <c:pt idx="10">
                  <c:v>911#</c:v>
                </c:pt>
                <c:pt idx="11">
                  <c:v>912#</c:v>
                </c:pt>
              </c:strCache>
            </c:strRef>
          </c:cat>
          <c:val>
            <c:numRef>
              <c:f>Sheet1!$H$4:$H$15</c:f>
              <c:numCache>
                <c:formatCode>0.0_ </c:formatCode>
                <c:ptCount val="12"/>
                <c:pt idx="0">
                  <c:v>270.2</c:v>
                </c:pt>
                <c:pt idx="1">
                  <c:v>334.4</c:v>
                </c:pt>
                <c:pt idx="2">
                  <c:v>275.6</c:v>
                </c:pt>
                <c:pt idx="3">
                  <c:v>348.8</c:v>
                </c:pt>
                <c:pt idx="4">
                  <c:v>361.4</c:v>
                </c:pt>
                <c:pt idx="5">
                  <c:v>295</c:v>
                </c:pt>
                <c:pt idx="6">
                  <c:v>310.4</c:v>
                </c:pt>
                <c:pt idx="7">
                  <c:v>304.2</c:v>
                </c:pt>
                <c:pt idx="8">
                  <c:v>272</c:v>
                </c:pt>
                <c:pt idx="9">
                  <c:v>256.4</c:v>
                </c:pt>
                <c:pt idx="10">
                  <c:v>276.4</c:v>
                </c:pt>
                <c:pt idx="11">
                  <c:v>325.2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803016"/>
        <c:axId val="128129961"/>
      </c:barChart>
      <c:catAx>
        <c:axId val="2098030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8129961"/>
        <c:crosses val="autoZero"/>
        <c:auto val="1"/>
        <c:lblAlgn val="ctr"/>
        <c:lblOffset val="100"/>
        <c:noMultiLvlLbl val="0"/>
      </c:catAx>
      <c:valAx>
        <c:axId val="1281299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9803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431800</xdr:colOff>
      <xdr:row>20</xdr:row>
      <xdr:rowOff>184150</xdr:rowOff>
    </xdr:from>
    <xdr:to>
      <xdr:col>9</xdr:col>
      <xdr:colOff>717550</xdr:colOff>
      <xdr:row>35</xdr:row>
      <xdr:rowOff>69850</xdr:rowOff>
    </xdr:to>
    <xdr:graphicFrame>
      <xdr:nvGraphicFramePr>
        <xdr:cNvPr id="2" name="Chart 1"/>
        <xdr:cNvGraphicFramePr/>
      </xdr:nvGraphicFramePr>
      <xdr:xfrm>
        <a:off x="3860800" y="39941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workbookViewId="0">
      <selection activeCell="L22" sqref="L22"/>
    </sheetView>
  </sheetViews>
  <sheetFormatPr defaultColWidth="9" defaultRowHeight="15" outlineLevelCol="7"/>
  <cols>
    <col min="5" max="5" width="9" style="1"/>
    <col min="8" max="8" width="9" style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2" spans="1:8">
      <c r="A2" s="3" t="s">
        <v>1</v>
      </c>
      <c r="B2" s="3" t="s">
        <v>2</v>
      </c>
      <c r="C2" s="3" t="s">
        <v>3</v>
      </c>
      <c r="D2" s="3"/>
      <c r="E2" s="5"/>
      <c r="F2" s="3" t="s">
        <v>4</v>
      </c>
      <c r="G2" s="3"/>
      <c r="H2" s="5"/>
    </row>
    <row r="3" spans="1:8">
      <c r="A3" s="3"/>
      <c r="B3" s="3"/>
      <c r="C3" s="4" t="s">
        <v>5</v>
      </c>
      <c r="D3" s="4" t="s">
        <v>6</v>
      </c>
      <c r="E3" s="6" t="s">
        <v>7</v>
      </c>
      <c r="F3" s="4" t="s">
        <v>5</v>
      </c>
      <c r="G3" s="4" t="s">
        <v>6</v>
      </c>
      <c r="H3" s="6" t="s">
        <v>7</v>
      </c>
    </row>
    <row r="4" spans="1:8">
      <c r="A4" s="4" t="s">
        <v>8</v>
      </c>
      <c r="B4" s="4" t="s">
        <v>9</v>
      </c>
      <c r="C4" s="4">
        <v>169</v>
      </c>
      <c r="D4" s="4">
        <v>68</v>
      </c>
      <c r="E4" s="6">
        <f>C4*0.8+D4*0.6</f>
        <v>176</v>
      </c>
      <c r="F4" s="4">
        <v>265</v>
      </c>
      <c r="G4" s="4">
        <v>97</v>
      </c>
      <c r="H4" s="6">
        <f>F4*0.8+G4*0.6</f>
        <v>270.2</v>
      </c>
    </row>
    <row r="5" spans="1:8">
      <c r="A5" s="4" t="s">
        <v>8</v>
      </c>
      <c r="B5" s="4" t="s">
        <v>10</v>
      </c>
      <c r="C5" s="4">
        <v>235</v>
      </c>
      <c r="D5" s="4">
        <v>58</v>
      </c>
      <c r="E5" s="6">
        <f t="shared" ref="E5:E15" si="0">C5*0.8+D5*0.6</f>
        <v>222.8</v>
      </c>
      <c r="F5" s="4">
        <v>325</v>
      </c>
      <c r="G5" s="4">
        <v>124</v>
      </c>
      <c r="H5" s="6">
        <f t="shared" ref="H5:H15" si="1">F5*0.8+G5*0.6</f>
        <v>334.4</v>
      </c>
    </row>
    <row r="6" spans="1:8">
      <c r="A6" s="4" t="s">
        <v>8</v>
      </c>
      <c r="B6" s="4" t="s">
        <v>11</v>
      </c>
      <c r="C6" s="4">
        <v>214</v>
      </c>
      <c r="D6" s="4">
        <v>88</v>
      </c>
      <c r="E6" s="6">
        <f t="shared" si="0"/>
        <v>224</v>
      </c>
      <c r="F6" s="4">
        <v>268</v>
      </c>
      <c r="G6" s="4">
        <v>102</v>
      </c>
      <c r="H6" s="6">
        <f t="shared" si="1"/>
        <v>275.6</v>
      </c>
    </row>
    <row r="7" spans="1:8">
      <c r="A7" s="4" t="s">
        <v>12</v>
      </c>
      <c r="B7" s="4" t="s">
        <v>13</v>
      </c>
      <c r="C7" s="4">
        <v>198</v>
      </c>
      <c r="D7" s="4">
        <v>88</v>
      </c>
      <c r="E7" s="6">
        <f t="shared" si="0"/>
        <v>211.2</v>
      </c>
      <c r="F7" s="4">
        <v>259</v>
      </c>
      <c r="G7" s="4">
        <v>236</v>
      </c>
      <c r="H7" s="6">
        <f t="shared" si="1"/>
        <v>348.8</v>
      </c>
    </row>
    <row r="8" spans="1:8">
      <c r="A8" s="4" t="s">
        <v>12</v>
      </c>
      <c r="B8" s="4" t="s">
        <v>14</v>
      </c>
      <c r="C8" s="4">
        <v>236</v>
      </c>
      <c r="D8" s="4">
        <v>102</v>
      </c>
      <c r="E8" s="6">
        <f t="shared" si="0"/>
        <v>250</v>
      </c>
      <c r="F8" s="4">
        <v>358</v>
      </c>
      <c r="G8" s="4">
        <v>125</v>
      </c>
      <c r="H8" s="6">
        <f t="shared" si="1"/>
        <v>361.4</v>
      </c>
    </row>
    <row r="9" spans="1:8">
      <c r="A9" s="4" t="s">
        <v>12</v>
      </c>
      <c r="B9" s="4" t="s">
        <v>15</v>
      </c>
      <c r="C9" s="4">
        <v>193</v>
      </c>
      <c r="D9" s="4">
        <v>121</v>
      </c>
      <c r="E9" s="6">
        <f t="shared" si="0"/>
        <v>227</v>
      </c>
      <c r="F9" s="4">
        <v>245</v>
      </c>
      <c r="G9" s="4">
        <v>165</v>
      </c>
      <c r="H9" s="6">
        <f t="shared" si="1"/>
        <v>295</v>
      </c>
    </row>
    <row r="10" spans="1:8">
      <c r="A10" s="4" t="s">
        <v>16</v>
      </c>
      <c r="B10" s="4" t="s">
        <v>17</v>
      </c>
      <c r="C10" s="4">
        <v>332</v>
      </c>
      <c r="D10" s="4">
        <v>156</v>
      </c>
      <c r="E10" s="6">
        <f t="shared" si="0"/>
        <v>359.2</v>
      </c>
      <c r="F10" s="4">
        <v>298</v>
      </c>
      <c r="G10" s="4">
        <v>120</v>
      </c>
      <c r="H10" s="6">
        <f t="shared" si="1"/>
        <v>310.4</v>
      </c>
    </row>
    <row r="11" spans="1:8">
      <c r="A11" s="4" t="s">
        <v>16</v>
      </c>
      <c r="B11" s="4" t="s">
        <v>18</v>
      </c>
      <c r="C11" s="4">
        <v>256</v>
      </c>
      <c r="D11" s="4">
        <v>98</v>
      </c>
      <c r="E11" s="6">
        <f t="shared" si="0"/>
        <v>263.6</v>
      </c>
      <c r="F11" s="4">
        <v>321</v>
      </c>
      <c r="G11" s="4">
        <v>79</v>
      </c>
      <c r="H11" s="6">
        <f t="shared" si="1"/>
        <v>304.2</v>
      </c>
    </row>
    <row r="12" spans="1:8">
      <c r="A12" s="4" t="s">
        <v>16</v>
      </c>
      <c r="B12" s="4" t="s">
        <v>19</v>
      </c>
      <c r="C12" s="4">
        <v>298</v>
      </c>
      <c r="D12" s="4">
        <v>145</v>
      </c>
      <c r="E12" s="6">
        <f t="shared" si="0"/>
        <v>325.4</v>
      </c>
      <c r="F12" s="4">
        <v>289</v>
      </c>
      <c r="G12" s="4">
        <v>68</v>
      </c>
      <c r="H12" s="6">
        <f t="shared" si="1"/>
        <v>272</v>
      </c>
    </row>
    <row r="13" spans="1:8">
      <c r="A13" s="4" t="s">
        <v>20</v>
      </c>
      <c r="B13" s="4" t="s">
        <v>21</v>
      </c>
      <c r="C13" s="4">
        <v>356</v>
      </c>
      <c r="D13" s="4">
        <v>112</v>
      </c>
      <c r="E13" s="6">
        <f t="shared" si="0"/>
        <v>352</v>
      </c>
      <c r="F13" s="4">
        <v>247</v>
      </c>
      <c r="G13" s="4">
        <v>98</v>
      </c>
      <c r="H13" s="6">
        <f t="shared" si="1"/>
        <v>256.4</v>
      </c>
    </row>
    <row r="14" spans="1:8">
      <c r="A14" s="4" t="s">
        <v>20</v>
      </c>
      <c r="B14" s="4" t="s">
        <v>22</v>
      </c>
      <c r="C14" s="4">
        <v>188</v>
      </c>
      <c r="D14" s="4">
        <v>87</v>
      </c>
      <c r="E14" s="6">
        <f t="shared" si="0"/>
        <v>202.6</v>
      </c>
      <c r="F14" s="4">
        <v>269</v>
      </c>
      <c r="G14" s="4">
        <v>102</v>
      </c>
      <c r="H14" s="6">
        <f t="shared" si="1"/>
        <v>276.4</v>
      </c>
    </row>
    <row r="15" spans="1:8">
      <c r="A15" s="4" t="s">
        <v>20</v>
      </c>
      <c r="B15" s="4" t="s">
        <v>23</v>
      </c>
      <c r="C15" s="4">
        <v>248</v>
      </c>
      <c r="D15" s="4">
        <v>69</v>
      </c>
      <c r="E15" s="6">
        <f t="shared" si="0"/>
        <v>239.8</v>
      </c>
      <c r="F15" s="4">
        <v>324</v>
      </c>
      <c r="G15" s="4">
        <v>110</v>
      </c>
      <c r="H15" s="6">
        <f t="shared" si="1"/>
        <v>325.2</v>
      </c>
    </row>
    <row r="16" spans="1:8">
      <c r="A16" s="4"/>
      <c r="B16" s="4"/>
      <c r="C16" s="3" t="s">
        <v>24</v>
      </c>
      <c r="D16" s="3"/>
      <c r="E16" s="6">
        <f>MAX(E4:E15)</f>
        <v>359.2</v>
      </c>
      <c r="F16" s="3" t="s">
        <v>25</v>
      </c>
      <c r="G16" s="3"/>
      <c r="H16" s="6">
        <f>MAX(H4:H15)</f>
        <v>361.4</v>
      </c>
    </row>
  </sheetData>
  <mergeCells count="7">
    <mergeCell ref="A1:H1"/>
    <mergeCell ref="C2:E2"/>
    <mergeCell ref="F2:H2"/>
    <mergeCell ref="C16:D16"/>
    <mergeCell ref="F16:G16"/>
    <mergeCell ref="A2:A3"/>
    <mergeCell ref="B2:B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bgp1984</cp:lastModifiedBy>
  <dcterms:created xsi:type="dcterms:W3CDTF">2023-02-13T01:15:00Z</dcterms:created>
  <dcterms:modified xsi:type="dcterms:W3CDTF">2025-12-18T20:31:06Z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0381390362DC42A784747BB0691539B7</vt:lpwstr>
  </property>
  <property fmtid="{D5CDD505-2E9C-101B-9397-08002B2CF9AE}" pid="3" name="KSOProductBuildVer">
    <vt:lpwstr>1033-11.1.0.11723</vt:lpwstr>
  </property>
</Properties>
</file>